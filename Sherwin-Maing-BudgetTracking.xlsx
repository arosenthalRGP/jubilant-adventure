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gpcom-my.sharepoint.com/personal/arosenthal_rgp_com/Documents/Documents/01-Client Data/Sherwin/"/>
    </mc:Choice>
  </mc:AlternateContent>
  <xr:revisionPtr revIDLastSave="160" documentId="8_{687B7328-B74F-41FB-8FDF-C01490DDE93D}" xr6:coauthVersionLast="47" xr6:coauthVersionMax="47" xr10:uidLastSave="{688CB3BD-51FD-4A5E-BFFE-3B257A90AFF0}"/>
  <bookViews>
    <workbookView xWindow="14325" yWindow="-16320" windowWidth="29040" windowHeight="15720" xr2:uid="{B161D904-3CF1-40EC-A775-5D3FF0F242F8}"/>
  </bookViews>
  <sheets>
    <sheet name="July 2026" sheetId="1" r:id="rId1"/>
    <sheet name="Aug 2026" sheetId="2" r:id="rId2"/>
    <sheet name="September 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G7" i="3"/>
  <c r="K11" i="3"/>
  <c r="J7" i="3"/>
  <c r="I7" i="3"/>
  <c r="F7" i="3"/>
  <c r="E7" i="3"/>
  <c r="D7" i="3"/>
  <c r="C7" i="3"/>
  <c r="K6" i="3"/>
  <c r="L6" i="3" s="1"/>
  <c r="K5" i="3"/>
  <c r="M5" i="3" s="1"/>
  <c r="N5" i="3" s="1"/>
  <c r="K4" i="3"/>
  <c r="L4" i="3" s="1"/>
  <c r="K3" i="3"/>
  <c r="L3" i="3" s="1"/>
  <c r="K2" i="3"/>
  <c r="M2" i="3" s="1"/>
  <c r="N2" i="3" s="1"/>
  <c r="K11" i="2"/>
  <c r="J7" i="2"/>
  <c r="I7" i="2"/>
  <c r="F7" i="2"/>
  <c r="E7" i="2"/>
  <c r="D7" i="2"/>
  <c r="C7" i="2"/>
  <c r="K6" i="2"/>
  <c r="M6" i="2" s="1"/>
  <c r="N6" i="2" s="1"/>
  <c r="K5" i="2"/>
  <c r="M5" i="2" s="1"/>
  <c r="N5" i="2" s="1"/>
  <c r="K4" i="2"/>
  <c r="M4" i="2" s="1"/>
  <c r="N4" i="2" s="1"/>
  <c r="K3" i="2"/>
  <c r="M3" i="2" s="1"/>
  <c r="N3" i="2" s="1"/>
  <c r="K2" i="2"/>
  <c r="M2" i="2" s="1"/>
  <c r="N2" i="2" s="1"/>
  <c r="I12" i="1"/>
  <c r="L4" i="1"/>
  <c r="L2" i="1"/>
  <c r="K3" i="1"/>
  <c r="L3" i="1" s="1"/>
  <c r="K4" i="1"/>
  <c r="K5" i="1"/>
  <c r="L5" i="1" s="1"/>
  <c r="K6" i="1"/>
  <c r="L6" i="1" s="1"/>
  <c r="K2" i="1"/>
  <c r="J4" i="1"/>
  <c r="J5" i="1"/>
  <c r="J6" i="1"/>
  <c r="J2" i="1"/>
  <c r="I3" i="1"/>
  <c r="J3" i="1" s="1"/>
  <c r="I4" i="1"/>
  <c r="I5" i="1"/>
  <c r="I6" i="1"/>
  <c r="I7" i="1"/>
  <c r="K7" i="1" s="1"/>
  <c r="L7" i="1" s="1"/>
  <c r="I2" i="1"/>
  <c r="E8" i="1"/>
  <c r="F8" i="1"/>
  <c r="G8" i="1"/>
  <c r="H8" i="1"/>
  <c r="D8" i="1"/>
  <c r="C8" i="1"/>
  <c r="I8" i="1" l="1"/>
  <c r="J7" i="1"/>
  <c r="J8" i="1" s="1"/>
  <c r="I13" i="1" s="1"/>
  <c r="M4" i="3"/>
  <c r="N4" i="3" s="1"/>
  <c r="L2" i="3"/>
  <c r="K7" i="3"/>
  <c r="L5" i="3"/>
  <c r="M3" i="3"/>
  <c r="N3" i="3" s="1"/>
  <c r="N7" i="3" s="1"/>
  <c r="M6" i="3"/>
  <c r="N6" i="3" s="1"/>
  <c r="K7" i="2"/>
  <c r="L4" i="2"/>
  <c r="L6" i="2"/>
  <c r="L2" i="2"/>
  <c r="L5" i="2"/>
  <c r="L3" i="2"/>
  <c r="N7" i="2"/>
  <c r="L8" i="1"/>
  <c r="C9" i="1" l="1"/>
  <c r="L7" i="3"/>
  <c r="K12" i="3" s="1"/>
  <c r="L7" i="2"/>
  <c r="K12" i="2" s="1"/>
  <c r="C8" i="3" l="1"/>
  <c r="C8" i="2"/>
</calcChain>
</file>

<file path=xl/sharedStrings.xml><?xml version="1.0" encoding="utf-8"?>
<sst xmlns="http://schemas.openxmlformats.org/spreadsheetml/2006/main" count="76" uniqueCount="35">
  <si>
    <t>July 1-4</t>
  </si>
  <si>
    <t>July 5- 11</t>
  </si>
  <si>
    <t>July 12-18</t>
  </si>
  <si>
    <t>July 19-25</t>
  </si>
  <si>
    <t>July 26-31</t>
  </si>
  <si>
    <t>Resource</t>
  </si>
  <si>
    <t>Rate</t>
  </si>
  <si>
    <t>Planned Hours</t>
  </si>
  <si>
    <t>Marc - Architect</t>
  </si>
  <si>
    <t>Sagar – Akumina Dev</t>
  </si>
  <si>
    <t>Farook – Front End</t>
  </si>
  <si>
    <t>Amy – Program Manager</t>
  </si>
  <si>
    <t>Matt - Developer</t>
  </si>
  <si>
    <t>Matt - Program Manager</t>
  </si>
  <si>
    <t>Totals</t>
  </si>
  <si>
    <t>--</t>
  </si>
  <si>
    <t>Total</t>
  </si>
  <si>
    <t>Montly Retainer</t>
  </si>
  <si>
    <t>Rollover</t>
  </si>
  <si>
    <t>Total Hours Used</t>
  </si>
  <si>
    <t>Total $ Used</t>
  </si>
  <si>
    <t>Remaining Hours</t>
  </si>
  <si>
    <t>Planned $</t>
  </si>
  <si>
    <t>Remaining $ (vs Planned)</t>
  </si>
  <si>
    <t>$ Remaining</t>
  </si>
  <si>
    <t>August 2-8</t>
  </si>
  <si>
    <t>August 9-15</t>
  </si>
  <si>
    <t>August 16-22</t>
  </si>
  <si>
    <t>August 23-29</t>
  </si>
  <si>
    <t>August 30-31</t>
  </si>
  <si>
    <t>September 1-5</t>
  </si>
  <si>
    <t>September 6-12</t>
  </si>
  <si>
    <t>September 13-19</t>
  </si>
  <si>
    <t>September 20-26</t>
  </si>
  <si>
    <t>September 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</si>
</sst>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E68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quotePrefix="1" applyFill="1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/>
    <xf numFmtId="0" fontId="0" fillId="3" borderId="0" xfId="0" applyFill="1" applyAlignment="1">
      <alignment wrapText="1"/>
    </xf>
    <xf numFmtId="44" fontId="0" fillId="0" borderId="0" xfId="1" applyFont="1"/>
    <xf numFmtId="44" fontId="0" fillId="2" borderId="0" xfId="1" applyFont="1" applyFill="1"/>
    <xf numFmtId="44" fontId="0" fillId="4" borderId="0" xfId="1" applyFont="1" applyFill="1"/>
    <xf numFmtId="44" fontId="0" fillId="0" borderId="0" xfId="0" applyNumberFormat="1"/>
    <xf numFmtId="16" fontId="0" fillId="0" borderId="0" xfId="0" applyNumberFormat="1"/>
    <xf numFmtId="16" fontId="0" fillId="3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AE6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78E6-E832-48C2-BCAF-BB6C13901C54}">
  <dimension ref="A1:L13"/>
  <sheetViews>
    <sheetView tabSelected="1" workbookViewId="0">
      <selection activeCell="C6" sqref="C6:C7"/>
    </sheetView>
  </sheetViews>
  <sheetFormatPr defaultRowHeight="14.4" x14ac:dyDescent="0.3"/>
  <cols>
    <col min="1" max="1" width="23" customWidth="1"/>
    <col min="3" max="3" width="14.5546875" customWidth="1"/>
    <col min="4" max="8" width="10.44140625" customWidth="1"/>
    <col min="9" max="12" width="13.21875" customWidth="1"/>
  </cols>
  <sheetData>
    <row r="1" spans="1:12" ht="29.4" customHeight="1" x14ac:dyDescent="0.3">
      <c r="A1" s="2" t="s">
        <v>5</v>
      </c>
      <c r="B1" s="2" t="s">
        <v>6</v>
      </c>
      <c r="C1" s="2" t="s">
        <v>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7" t="s">
        <v>19</v>
      </c>
      <c r="J1" s="7" t="s">
        <v>20</v>
      </c>
      <c r="K1" s="7" t="s">
        <v>21</v>
      </c>
      <c r="L1" s="7" t="s">
        <v>23</v>
      </c>
    </row>
    <row r="2" spans="1:12" x14ac:dyDescent="0.3">
      <c r="A2" t="s">
        <v>8</v>
      </c>
      <c r="B2" s="8">
        <v>200</v>
      </c>
      <c r="C2">
        <v>5</v>
      </c>
      <c r="I2" s="6">
        <f>SUM(D2:H2)</f>
        <v>0</v>
      </c>
      <c r="J2" s="8">
        <f>+I2*B2</f>
        <v>0</v>
      </c>
      <c r="K2">
        <f>+C2-I2</f>
        <v>5</v>
      </c>
      <c r="L2">
        <f>+K2*B2</f>
        <v>1000</v>
      </c>
    </row>
    <row r="3" spans="1:12" x14ac:dyDescent="0.3">
      <c r="A3" s="1" t="s">
        <v>9</v>
      </c>
      <c r="B3" s="9">
        <v>165</v>
      </c>
      <c r="C3" s="1">
        <v>40</v>
      </c>
      <c r="D3" s="1">
        <v>1</v>
      </c>
      <c r="E3" s="1">
        <v>8</v>
      </c>
      <c r="F3" s="1">
        <v>3</v>
      </c>
      <c r="G3" s="1">
        <v>3</v>
      </c>
      <c r="H3" s="1"/>
      <c r="I3" s="6">
        <f t="shared" ref="I3:I7" si="0">SUM(D3:H3)</f>
        <v>15</v>
      </c>
      <c r="J3" s="8">
        <f t="shared" ref="J3:J7" si="1">+I3*B3</f>
        <v>2475</v>
      </c>
      <c r="K3">
        <f t="shared" ref="K3:K7" si="2">+C3-I3</f>
        <v>25</v>
      </c>
      <c r="L3">
        <f t="shared" ref="L3:L7" si="3">+K3*B3</f>
        <v>4125</v>
      </c>
    </row>
    <row r="4" spans="1:12" x14ac:dyDescent="0.3">
      <c r="A4" t="s">
        <v>10</v>
      </c>
      <c r="B4" s="8">
        <v>75</v>
      </c>
      <c r="C4">
        <v>30</v>
      </c>
      <c r="D4">
        <v>4</v>
      </c>
      <c r="I4" s="6">
        <f t="shared" si="0"/>
        <v>4</v>
      </c>
      <c r="J4" s="8">
        <f t="shared" si="1"/>
        <v>300</v>
      </c>
      <c r="K4">
        <f t="shared" si="2"/>
        <v>26</v>
      </c>
      <c r="L4">
        <f t="shared" si="3"/>
        <v>1950</v>
      </c>
    </row>
    <row r="5" spans="1:12" x14ac:dyDescent="0.3">
      <c r="A5" s="1" t="s">
        <v>12</v>
      </c>
      <c r="B5" s="9">
        <v>185</v>
      </c>
      <c r="C5" s="1">
        <v>10</v>
      </c>
      <c r="D5" s="1"/>
      <c r="E5" s="1"/>
      <c r="F5" s="1"/>
      <c r="G5" s="1"/>
      <c r="H5" s="1"/>
      <c r="I5" s="6">
        <f t="shared" si="0"/>
        <v>0</v>
      </c>
      <c r="J5" s="8">
        <f t="shared" si="1"/>
        <v>0</v>
      </c>
      <c r="K5">
        <f t="shared" si="2"/>
        <v>10</v>
      </c>
      <c r="L5">
        <f t="shared" si="3"/>
        <v>1850</v>
      </c>
    </row>
    <row r="6" spans="1:12" x14ac:dyDescent="0.3">
      <c r="A6" t="s">
        <v>13</v>
      </c>
      <c r="B6" s="8">
        <v>185</v>
      </c>
      <c r="C6">
        <v>15</v>
      </c>
      <c r="D6">
        <v>4</v>
      </c>
      <c r="E6">
        <v>9.5</v>
      </c>
      <c r="F6">
        <v>7</v>
      </c>
      <c r="I6" s="6">
        <f t="shared" si="0"/>
        <v>20.5</v>
      </c>
      <c r="J6" s="8">
        <f t="shared" si="1"/>
        <v>3792.5</v>
      </c>
      <c r="K6">
        <f t="shared" si="2"/>
        <v>-5.5</v>
      </c>
      <c r="L6">
        <f t="shared" si="3"/>
        <v>-1017.5</v>
      </c>
    </row>
    <row r="7" spans="1:12" x14ac:dyDescent="0.3">
      <c r="A7" s="1" t="s">
        <v>11</v>
      </c>
      <c r="B7" s="9">
        <v>185</v>
      </c>
      <c r="C7" s="1">
        <v>15</v>
      </c>
      <c r="D7" s="1"/>
      <c r="E7" s="1">
        <v>1</v>
      </c>
      <c r="F7" s="1">
        <v>1</v>
      </c>
      <c r="G7" s="1">
        <v>5</v>
      </c>
      <c r="H7" s="1"/>
      <c r="I7" s="6">
        <f t="shared" si="0"/>
        <v>7</v>
      </c>
      <c r="J7" s="8">
        <f t="shared" si="1"/>
        <v>1295</v>
      </c>
      <c r="K7">
        <f t="shared" si="2"/>
        <v>8</v>
      </c>
      <c r="L7">
        <f t="shared" si="3"/>
        <v>1480</v>
      </c>
    </row>
    <row r="8" spans="1:12" x14ac:dyDescent="0.3">
      <c r="A8" s="3" t="s">
        <v>14</v>
      </c>
      <c r="B8" s="4" t="s">
        <v>15</v>
      </c>
      <c r="C8" s="3">
        <f>SUM(C2:C7)</f>
        <v>115</v>
      </c>
      <c r="D8" s="3">
        <f>SUM(D2:D7)</f>
        <v>9</v>
      </c>
      <c r="E8" s="3">
        <f t="shared" ref="E8:H8" si="4">SUM(E2:E7)</f>
        <v>18.5</v>
      </c>
      <c r="F8" s="3">
        <f t="shared" si="4"/>
        <v>11</v>
      </c>
      <c r="G8" s="3">
        <f t="shared" si="4"/>
        <v>8</v>
      </c>
      <c r="H8" s="3">
        <f t="shared" si="4"/>
        <v>0</v>
      </c>
      <c r="I8" s="6">
        <f>SUM(I2:I7)</f>
        <v>46.5</v>
      </c>
      <c r="J8" s="10">
        <f>SUM(J2:J7)</f>
        <v>7862.5</v>
      </c>
      <c r="K8" s="3" t="s">
        <v>15</v>
      </c>
      <c r="L8" s="3">
        <f>SUM(L2:L7)</f>
        <v>9387.5</v>
      </c>
    </row>
    <row r="9" spans="1:12" x14ac:dyDescent="0.3">
      <c r="B9" t="s">
        <v>22</v>
      </c>
      <c r="C9" s="10">
        <f>+L8+J8</f>
        <v>17250</v>
      </c>
    </row>
    <row r="10" spans="1:12" x14ac:dyDescent="0.3">
      <c r="H10" s="5" t="s">
        <v>17</v>
      </c>
      <c r="I10" s="8">
        <v>14000</v>
      </c>
    </row>
    <row r="11" spans="1:12" x14ac:dyDescent="0.3">
      <c r="H11" s="5" t="s">
        <v>18</v>
      </c>
      <c r="I11" s="8">
        <v>3000</v>
      </c>
    </row>
    <row r="12" spans="1:12" x14ac:dyDescent="0.3">
      <c r="H12" s="5" t="s">
        <v>16</v>
      </c>
      <c r="I12" s="8">
        <f>+I10+I11</f>
        <v>17000</v>
      </c>
    </row>
    <row r="13" spans="1:12" x14ac:dyDescent="0.3">
      <c r="H13" s="5" t="s">
        <v>24</v>
      </c>
      <c r="I13" s="11">
        <f>+I12-J8</f>
        <v>9137.5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03DF-7160-44F7-9FCD-02102BDC580B}">
  <dimension ref="A1:N18"/>
  <sheetViews>
    <sheetView workbookViewId="0">
      <selection sqref="A1:XFD1048576"/>
    </sheetView>
  </sheetViews>
  <sheetFormatPr defaultRowHeight="14.4" x14ac:dyDescent="0.3"/>
  <cols>
    <col min="1" max="1" width="23" customWidth="1"/>
    <col min="3" max="3" width="14.5546875" customWidth="1"/>
    <col min="4" max="10" width="10.44140625" customWidth="1"/>
    <col min="11" max="14" width="13.21875" customWidth="1"/>
  </cols>
  <sheetData>
    <row r="1" spans="1:14" ht="29.4" customHeight="1" x14ac:dyDescent="0.3">
      <c r="A1" s="2" t="s">
        <v>5</v>
      </c>
      <c r="B1" s="2" t="s">
        <v>6</v>
      </c>
      <c r="C1" s="2" t="s">
        <v>7</v>
      </c>
      <c r="D1" s="13">
        <v>46235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/>
      <c r="K1" s="7" t="s">
        <v>19</v>
      </c>
      <c r="L1" s="7" t="s">
        <v>20</v>
      </c>
      <c r="M1" s="7" t="s">
        <v>21</v>
      </c>
      <c r="N1" s="7" t="s">
        <v>23</v>
      </c>
    </row>
    <row r="2" spans="1:14" x14ac:dyDescent="0.3">
      <c r="A2" t="s">
        <v>8</v>
      </c>
      <c r="B2" s="8">
        <v>200</v>
      </c>
      <c r="C2">
        <v>5</v>
      </c>
      <c r="K2" s="6">
        <f>SUM(D2:J2)</f>
        <v>0</v>
      </c>
      <c r="L2" s="8">
        <f>+K2*B2</f>
        <v>0</v>
      </c>
      <c r="M2">
        <f>+C2-K2</f>
        <v>5</v>
      </c>
      <c r="N2">
        <f>+M2*B2</f>
        <v>1000</v>
      </c>
    </row>
    <row r="3" spans="1:14" x14ac:dyDescent="0.3">
      <c r="A3" s="1" t="s">
        <v>9</v>
      </c>
      <c r="B3" s="9">
        <v>165</v>
      </c>
      <c r="C3" s="1">
        <v>40</v>
      </c>
      <c r="D3" s="1"/>
      <c r="E3" s="1"/>
      <c r="F3" s="1"/>
      <c r="G3" s="1"/>
      <c r="H3" s="1"/>
      <c r="I3" s="1"/>
      <c r="J3" s="1"/>
      <c r="K3" s="6">
        <f>SUM(D3:J3)</f>
        <v>0</v>
      </c>
      <c r="L3" s="8">
        <f>+K3*B3</f>
        <v>0</v>
      </c>
      <c r="M3">
        <f>+C3-K3</f>
        <v>40</v>
      </c>
      <c r="N3">
        <f>+M3*B3</f>
        <v>6600</v>
      </c>
    </row>
    <row r="4" spans="1:14" x14ac:dyDescent="0.3">
      <c r="A4" t="s">
        <v>10</v>
      </c>
      <c r="B4" s="8">
        <v>75</v>
      </c>
      <c r="C4">
        <v>30</v>
      </c>
      <c r="K4" s="6">
        <f>SUM(D4:J4)</f>
        <v>0</v>
      </c>
      <c r="L4" s="8">
        <f>+K4*B4</f>
        <v>0</v>
      </c>
      <c r="M4">
        <f>+C4-K4</f>
        <v>30</v>
      </c>
      <c r="N4">
        <f>+M4*B4</f>
        <v>2250</v>
      </c>
    </row>
    <row r="5" spans="1:14" x14ac:dyDescent="0.3">
      <c r="A5" s="1" t="s">
        <v>12</v>
      </c>
      <c r="B5" s="9">
        <v>185</v>
      </c>
      <c r="C5" s="1">
        <v>10</v>
      </c>
      <c r="D5" s="1"/>
      <c r="E5" s="1"/>
      <c r="F5" s="1"/>
      <c r="G5" s="1"/>
      <c r="H5" s="1"/>
      <c r="I5" s="1"/>
      <c r="J5" s="1"/>
      <c r="K5" s="6">
        <f>SUM(D5:J5)</f>
        <v>0</v>
      </c>
      <c r="L5" s="8">
        <f>+K5*B5</f>
        <v>0</v>
      </c>
      <c r="M5">
        <f>+C5-K5</f>
        <v>10</v>
      </c>
      <c r="N5">
        <f>+M5*B5</f>
        <v>1850</v>
      </c>
    </row>
    <row r="6" spans="1:14" x14ac:dyDescent="0.3">
      <c r="A6" s="1" t="s">
        <v>11</v>
      </c>
      <c r="B6" s="9">
        <v>185</v>
      </c>
      <c r="C6" s="1">
        <v>10</v>
      </c>
      <c r="D6" s="1"/>
      <c r="E6" s="1"/>
      <c r="F6" s="1"/>
      <c r="G6" s="1"/>
      <c r="H6" s="1"/>
      <c r="I6" s="1"/>
      <c r="J6" s="1"/>
      <c r="K6" s="6">
        <f>SUM(D6:J6)</f>
        <v>0</v>
      </c>
      <c r="L6" s="8">
        <f>+K6*B6</f>
        <v>0</v>
      </c>
      <c r="M6">
        <f>+C6-K6</f>
        <v>10</v>
      </c>
      <c r="N6">
        <f>+M6*B6</f>
        <v>1850</v>
      </c>
    </row>
    <row r="7" spans="1:14" x14ac:dyDescent="0.3">
      <c r="A7" s="3" t="s">
        <v>14</v>
      </c>
      <c r="B7" s="4" t="s">
        <v>15</v>
      </c>
      <c r="C7" s="3">
        <f>SUM(C2:C6)</f>
        <v>95</v>
      </c>
      <c r="D7" s="3">
        <f>SUM(D2:D6)</f>
        <v>0</v>
      </c>
      <c r="E7" s="3">
        <f>SUM(E2:E6)</f>
        <v>0</v>
      </c>
      <c r="F7" s="3">
        <f>SUM(F2:F6)</f>
        <v>0</v>
      </c>
      <c r="G7" s="3"/>
      <c r="H7" s="3"/>
      <c r="I7" s="3">
        <f>SUM(I2:I6)</f>
        <v>0</v>
      </c>
      <c r="J7" s="3">
        <f>SUM(J2:J6)</f>
        <v>0</v>
      </c>
      <c r="K7" s="6">
        <f>SUM(K2:K6)</f>
        <v>0</v>
      </c>
      <c r="L7" s="10">
        <f>SUM(L2:L6)</f>
        <v>0</v>
      </c>
      <c r="M7" s="3" t="s">
        <v>15</v>
      </c>
      <c r="N7" s="3">
        <f>SUM(N2:N6)</f>
        <v>13550</v>
      </c>
    </row>
    <row r="8" spans="1:14" x14ac:dyDescent="0.3">
      <c r="B8" t="s">
        <v>22</v>
      </c>
      <c r="C8" s="10">
        <f>+N7+L7</f>
        <v>13550</v>
      </c>
    </row>
    <row r="9" spans="1:14" x14ac:dyDescent="0.3">
      <c r="J9" s="5" t="s">
        <v>17</v>
      </c>
      <c r="K9" s="8">
        <v>14000</v>
      </c>
    </row>
    <row r="10" spans="1:14" x14ac:dyDescent="0.3">
      <c r="J10" s="5" t="s">
        <v>18</v>
      </c>
      <c r="K10" s="8">
        <v>0</v>
      </c>
    </row>
    <row r="11" spans="1:14" x14ac:dyDescent="0.3">
      <c r="J11" s="5" t="s">
        <v>16</v>
      </c>
      <c r="K11" s="8">
        <f>+K9+K10</f>
        <v>14000</v>
      </c>
    </row>
    <row r="12" spans="1:14" x14ac:dyDescent="0.3">
      <c r="J12" s="5" t="s">
        <v>24</v>
      </c>
      <c r="K12" s="11">
        <f>+K11-L7</f>
        <v>14000</v>
      </c>
    </row>
    <row r="18" spans="1:1" x14ac:dyDescent="0.3">
      <c r="A1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83C8-0232-46BD-AAD2-51071AC78352}">
  <dimension ref="A1:N18"/>
  <sheetViews>
    <sheetView workbookViewId="0">
      <selection activeCell="A17" sqref="A17:A21"/>
    </sheetView>
  </sheetViews>
  <sheetFormatPr defaultRowHeight="14.4" x14ac:dyDescent="0.3"/>
  <cols>
    <col min="1" max="1" width="23" customWidth="1"/>
    <col min="3" max="3" width="14.5546875" customWidth="1"/>
    <col min="4" max="4" width="13.21875" bestFit="1" customWidth="1"/>
    <col min="5" max="5" width="14.109375" bestFit="1" customWidth="1"/>
    <col min="6" max="8" width="15.109375" bestFit="1" customWidth="1"/>
    <col min="9" max="10" width="10.44140625" customWidth="1"/>
    <col min="11" max="14" width="13.21875" customWidth="1"/>
  </cols>
  <sheetData>
    <row r="1" spans="1:14" ht="29.4" customHeight="1" x14ac:dyDescent="0.3">
      <c r="A1" s="2" t="s">
        <v>5</v>
      </c>
      <c r="B1" s="2" t="s">
        <v>6</v>
      </c>
      <c r="C1" s="2" t="s">
        <v>7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/>
      <c r="J1" s="2"/>
      <c r="K1" s="7" t="s">
        <v>19</v>
      </c>
      <c r="L1" s="7" t="s">
        <v>20</v>
      </c>
      <c r="M1" s="7" t="s">
        <v>21</v>
      </c>
      <c r="N1" s="7" t="s">
        <v>23</v>
      </c>
    </row>
    <row r="2" spans="1:14" x14ac:dyDescent="0.3">
      <c r="A2" t="s">
        <v>8</v>
      </c>
      <c r="B2" s="8">
        <v>200</v>
      </c>
      <c r="C2">
        <v>5</v>
      </c>
      <c r="K2" s="6">
        <f>SUM(D2:J2)</f>
        <v>0</v>
      </c>
      <c r="L2" s="8">
        <f>+K2*B2</f>
        <v>0</v>
      </c>
      <c r="M2">
        <f>+C2-K2</f>
        <v>5</v>
      </c>
      <c r="N2">
        <f>+M2*B2</f>
        <v>1000</v>
      </c>
    </row>
    <row r="3" spans="1:14" x14ac:dyDescent="0.3">
      <c r="A3" s="1" t="s">
        <v>9</v>
      </c>
      <c r="B3" s="9">
        <v>165</v>
      </c>
      <c r="C3" s="1">
        <v>40</v>
      </c>
      <c r="D3" s="1"/>
      <c r="E3" s="1"/>
      <c r="F3" s="1"/>
      <c r="G3" s="1"/>
      <c r="H3" s="1"/>
      <c r="I3" s="1"/>
      <c r="J3" s="1"/>
      <c r="K3" s="6">
        <f>SUM(D3:J3)</f>
        <v>0</v>
      </c>
      <c r="L3" s="8">
        <f>+K3*B3</f>
        <v>0</v>
      </c>
      <c r="M3">
        <f>+C3-K3</f>
        <v>40</v>
      </c>
      <c r="N3">
        <f>+M3*B3</f>
        <v>6600</v>
      </c>
    </row>
    <row r="4" spans="1:14" x14ac:dyDescent="0.3">
      <c r="A4" t="s">
        <v>10</v>
      </c>
      <c r="B4" s="8">
        <v>75</v>
      </c>
      <c r="C4">
        <v>30</v>
      </c>
      <c r="K4" s="6">
        <f>SUM(D4:J4)</f>
        <v>0</v>
      </c>
      <c r="L4" s="8">
        <f>+K4*B4</f>
        <v>0</v>
      </c>
      <c r="M4">
        <f>+C4-K4</f>
        <v>30</v>
      </c>
      <c r="N4">
        <f>+M4*B4</f>
        <v>2250</v>
      </c>
    </row>
    <row r="5" spans="1:14" x14ac:dyDescent="0.3">
      <c r="A5" s="1" t="s">
        <v>12</v>
      </c>
      <c r="B5" s="9">
        <v>185</v>
      </c>
      <c r="C5" s="1">
        <v>10</v>
      </c>
      <c r="D5" s="1"/>
      <c r="E5" s="1"/>
      <c r="F5" s="1"/>
      <c r="G5" s="1"/>
      <c r="H5" s="1"/>
      <c r="I5" s="1"/>
      <c r="J5" s="1"/>
      <c r="K5" s="6">
        <f>SUM(D5:J5)</f>
        <v>0</v>
      </c>
      <c r="L5" s="8">
        <f>+K5*B5</f>
        <v>0</v>
      </c>
      <c r="M5">
        <f>+C5-K5</f>
        <v>10</v>
      </c>
      <c r="N5">
        <f>+M5*B5</f>
        <v>1850</v>
      </c>
    </row>
    <row r="6" spans="1:14" x14ac:dyDescent="0.3">
      <c r="A6" s="1" t="s">
        <v>11</v>
      </c>
      <c r="B6" s="9">
        <v>185</v>
      </c>
      <c r="C6" s="1">
        <v>10</v>
      </c>
      <c r="D6" s="1"/>
      <c r="E6" s="1"/>
      <c r="F6" s="1"/>
      <c r="G6" s="1"/>
      <c r="H6" s="1"/>
      <c r="I6" s="1"/>
      <c r="J6" s="1"/>
      <c r="K6" s="6">
        <f>SUM(D6:J6)</f>
        <v>0</v>
      </c>
      <c r="L6" s="8">
        <f>+K6*B6</f>
        <v>0</v>
      </c>
      <c r="M6">
        <f>+C6-K6</f>
        <v>10</v>
      </c>
      <c r="N6">
        <f>+M6*B6</f>
        <v>1850</v>
      </c>
    </row>
    <row r="7" spans="1:14" x14ac:dyDescent="0.3">
      <c r="A7" s="3" t="s">
        <v>14</v>
      </c>
      <c r="B7" s="4" t="s">
        <v>15</v>
      </c>
      <c r="C7" s="3">
        <f>SUM(C2:C6)</f>
        <v>95</v>
      </c>
      <c r="D7" s="3">
        <f>SUM(D2:D6)</f>
        <v>0</v>
      </c>
      <c r="E7" s="3">
        <f>SUM(E2:E6)</f>
        <v>0</v>
      </c>
      <c r="F7" s="3">
        <f>SUM(F2:F6)</f>
        <v>0</v>
      </c>
      <c r="G7" s="3">
        <f t="shared" ref="G7:H7" si="0">SUM(G2:G6)</f>
        <v>0</v>
      </c>
      <c r="H7" s="3">
        <f t="shared" si="0"/>
        <v>0</v>
      </c>
      <c r="I7" s="3">
        <f>SUM(I2:I6)</f>
        <v>0</v>
      </c>
      <c r="J7" s="3">
        <f>SUM(J2:J6)</f>
        <v>0</v>
      </c>
      <c r="K7" s="6">
        <f>SUM(K2:K6)</f>
        <v>0</v>
      </c>
      <c r="L7" s="10">
        <f>SUM(L2:L6)</f>
        <v>0</v>
      </c>
      <c r="M7" s="3" t="s">
        <v>15</v>
      </c>
      <c r="N7" s="3">
        <f>SUM(N2:N6)</f>
        <v>13550</v>
      </c>
    </row>
    <row r="8" spans="1:14" x14ac:dyDescent="0.3">
      <c r="B8" t="s">
        <v>22</v>
      </c>
      <c r="C8" s="10">
        <f>+N7+L7</f>
        <v>13550</v>
      </c>
    </row>
    <row r="9" spans="1:14" x14ac:dyDescent="0.3">
      <c r="J9" s="5" t="s">
        <v>17</v>
      </c>
      <c r="K9" s="8">
        <v>14000</v>
      </c>
    </row>
    <row r="10" spans="1:14" x14ac:dyDescent="0.3">
      <c r="J10" s="5" t="s">
        <v>18</v>
      </c>
      <c r="K10" s="8">
        <v>0</v>
      </c>
    </row>
    <row r="11" spans="1:14" x14ac:dyDescent="0.3">
      <c r="J11" s="5" t="s">
        <v>16</v>
      </c>
      <c r="K11" s="8">
        <f>+K9+K10</f>
        <v>14000</v>
      </c>
    </row>
    <row r="12" spans="1:14" x14ac:dyDescent="0.3">
      <c r="J12" s="5" t="s">
        <v>24</v>
      </c>
      <c r="K12" s="11">
        <f>+K11-L7</f>
        <v>14000</v>
      </c>
    </row>
    <row r="18" spans="1:1" x14ac:dyDescent="0.3">
      <c r="A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2026</vt:lpstr>
      <vt:lpstr>Aug 2026</vt:lpstr>
      <vt:lpstr>September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Rosenthal, Amy (RGP - Richmond)</dc:creator>
  <cp:lastModifiedBy>Rosenthal, Amy (RGP - Richmond)</cp:lastModifiedBy>
  <dcterms:created xsi:type="dcterms:W3CDTF">2026-07-20T16:48:28Z</dcterms:created>
  <dcterms:modified xsi:type="dcterms:W3CDTF">2026-07-27T12:19:18Z</dcterms:modified>
</cp:coreProperties>
</file>