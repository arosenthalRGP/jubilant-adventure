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gpcom-my.sharepoint.com/personal/arosenthal_rgp_com/Documents/Documents/01-Client Data/Sherwin/"/>
    </mc:Choice>
  </mc:AlternateContent>
  <xr:revisionPtr revIDLastSave="6" documentId="8_{130D0661-004C-4C56-B041-46C495BD7FAE}" xr6:coauthVersionLast="47" xr6:coauthVersionMax="47" xr10:uidLastSave="{D7A8FB81-5EE1-42D1-9259-F415182DC653}"/>
  <bookViews>
    <workbookView xWindow="16485" yWindow="-14445" windowWidth="21600" windowHeight="11235" xr2:uid="{BCF38629-DBC7-427B-B14B-B48CFC7CF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H6" i="1"/>
  <c r="H5" i="1"/>
  <c r="H3" i="1"/>
  <c r="H4" i="1"/>
  <c r="B7" i="1"/>
  <c r="G7" i="1"/>
  <c r="F7" i="1"/>
  <c r="E7" i="1"/>
  <c r="D7" i="1"/>
  <c r="D6" i="1"/>
  <c r="D5" i="1"/>
  <c r="D4" i="1"/>
  <c r="D3" i="1"/>
  <c r="E6" i="1"/>
  <c r="E3" i="1"/>
  <c r="E5" i="1"/>
  <c r="E4" i="1"/>
</calcChain>
</file>

<file path=xl/sharedStrings.xml><?xml version="1.0" encoding="utf-8"?>
<sst xmlns="http://schemas.openxmlformats.org/spreadsheetml/2006/main" count="15" uniqueCount="14">
  <si>
    <t>Role</t>
  </si>
  <si>
    <t>Hours Spent to Date</t>
  </si>
  <si>
    <t>Rate</t>
  </si>
  <si>
    <t>Spend to Date ($)</t>
  </si>
  <si>
    <t>Hours Remaining Forecast</t>
  </si>
  <si>
    <t>Monthly</t>
  </si>
  <si>
    <t>Hours Forecast</t>
  </si>
  <si>
    <t>Spend Forecast</t>
  </si>
  <si>
    <t>Marc - Architect</t>
  </si>
  <si>
    <t>Sagar – Akumina Dev</t>
  </si>
  <si>
    <t>Farook – Front End</t>
  </si>
  <si>
    <t>Danielle – Program Manager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</si>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</sst>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2"/>
      <color rgb="FFFFFFFF"/>
      <name val="Poppins SemiBold"/>
    </font>
    <font>
      <sz val="9"/>
      <color rgb="FF3E3E3E"/>
      <name val="Poppins"/>
    </font>
    <font>
      <sz val="10"/>
      <color rgb="FF3E3E3E"/>
      <name val="Poppins"/>
    </font>
    <font>
      <sz val="9"/>
      <color rgb="FF121212"/>
      <name val="Poppins"/>
    </font>
  </fonts>
  <fills count="6">
    <fill>
      <patternFill patternType="none"/>
    </fill>
    <fill>
      <patternFill patternType="gray125"/>
    </fill>
    <fill>
      <patternFill patternType="solid">
        <fgColor rgb="FFFF1C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AB6C8"/>
        <bgColor indexed="64"/>
      </patternFill>
    </fill>
    <fill>
      <patternFill patternType="solid">
        <fgColor rgb="FF6891AD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BFBFB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BFBFBF"/>
      </bottom>
      <diagonal/>
    </border>
    <border>
      <left/>
      <right style="medium">
        <color rgb="FFFFFFFF"/>
      </right>
      <top style="medium">
        <color rgb="FFBFBFBF"/>
      </top>
      <bottom/>
      <diagonal/>
    </border>
    <border>
      <left/>
      <right style="medium">
        <color rgb="FFFFFFF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8" fontId="0" fillId="0" borderId="0" xfId="0" applyNumberFormat="1"/>
    <xf numFmtId="8" fontId="2" fillId="3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8" fontId="2" fillId="4" borderId="6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horizontal="right" vertical="center" wrapText="1"/>
    </xf>
    <xf numFmtId="0" fontId="2" fillId="5" borderId="5" xfId="0" applyFont="1" applyFill="1" applyBorder="1" applyAlignment="1">
      <alignment horizontal="right" vertical="center" wrapText="1"/>
    </xf>
    <xf numFmtId="8" fontId="4" fillId="5" borderId="7" xfId="0" applyNumberFormat="1" applyFont="1" applyFill="1" applyBorder="1" applyAlignment="1">
      <alignment horizontal="right" vertical="center" wrapText="1"/>
    </xf>
    <xf numFmtId="8" fontId="4" fillId="5" borderId="5" xfId="0" applyNumberFormat="1" applyFont="1" applyFill="1" applyBorder="1" applyAlignment="1">
      <alignment horizontal="right" vertical="center" wrapText="1"/>
    </xf>
    <xf numFmtId="8" fontId="2" fillId="5" borderId="7" xfId="0" applyNumberFormat="1" applyFont="1" applyFill="1" applyBorder="1" applyAlignment="1">
      <alignment horizontal="right" vertical="center" wrapText="1"/>
    </xf>
    <xf numFmtId="8" fontId="2" fillId="5" borderId="5" xfId="0" applyNumberFormat="1" applyFont="1" applyFill="1" applyBorder="1" applyAlignment="1">
      <alignment horizontal="right" vertical="center" wrapText="1"/>
    </xf>
    <xf numFmtId="1" fontId="2" fillId="3" borderId="6" xfId="0" applyNumberFormat="1" applyFont="1" applyFill="1" applyBorder="1" applyAlignment="1">
      <alignment horizontal="right" vertical="center" wrapText="1"/>
    </xf>
    <xf numFmtId="1" fontId="2" fillId="5" borderId="7" xfId="0" applyNumberFormat="1" applyFont="1" applyFill="1" applyBorder="1" applyAlignment="1">
      <alignment horizontal="right" vertical="center" wrapText="1"/>
    </xf>
    <xf numFmtId="1" fontId="2" fillId="5" borderId="5" xfId="0" applyNumberFormat="1" applyFont="1" applyFill="1" applyBorder="1" applyAlignment="1">
      <alignment horizontal="right" vertical="center" wrapText="1"/>
    </xf>
    <xf numFmtId="1" fontId="2" fillId="3" borderId="5" xfId="0" applyNumberFormat="1" applyFont="1" applyFill="1" applyBorder="1" applyAlignment="1">
      <alignment horizontal="right" vertical="center" wrapText="1"/>
    </xf>
    <xf numFmtId="8" fontId="2" fillId="3" borderId="5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1323-F38C-474A-B97B-6C733F20026B}">
  <dimension ref="A1:I8"/>
  <sheetViews>
    <sheetView tabSelected="1" workbookViewId="0">
      <selection activeCell="I9" sqref="I9"/>
    </sheetView>
  </sheetViews>
  <sheetFormatPr defaultRowHeight="14.4" x14ac:dyDescent="0.3"/>
  <cols>
    <col min="2" max="2" width="15.109375" bestFit="1" customWidth="1"/>
    <col min="3" max="3" width="8.21875" bestFit="1" customWidth="1"/>
    <col min="4" max="4" width="11.33203125" bestFit="1" customWidth="1"/>
    <col min="5" max="5" width="21.109375" bestFit="1" customWidth="1"/>
    <col min="6" max="6" width="11.6640625" customWidth="1"/>
    <col min="7" max="7" width="17.77734375" customWidth="1"/>
    <col min="8" max="8" width="9.6640625" bestFit="1" customWidth="1"/>
    <col min="9" max="9" width="10.6640625" bestFit="1" customWidth="1"/>
  </cols>
  <sheetData>
    <row r="1" spans="1:9" ht="4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5</v>
      </c>
      <c r="G1" s="1" t="s">
        <v>5</v>
      </c>
    </row>
    <row r="2" spans="1:9" ht="72.599999999999994" thickBot="1" x14ac:dyDescent="0.35">
      <c r="A2" s="9"/>
      <c r="B2" s="9"/>
      <c r="C2" s="9"/>
      <c r="D2" s="9"/>
      <c r="E2" s="9"/>
      <c r="F2" s="2" t="s">
        <v>6</v>
      </c>
      <c r="G2" s="2" t="s">
        <v>7</v>
      </c>
    </row>
    <row r="3" spans="1:9" ht="35.4" thickBot="1" x14ac:dyDescent="0.35">
      <c r="A3" s="3" t="s">
        <v>8</v>
      </c>
      <c r="B3" s="18">
        <v>0</v>
      </c>
      <c r="C3" s="5">
        <v>200</v>
      </c>
      <c r="D3" s="5">
        <f>+B3*C3</f>
        <v>0</v>
      </c>
      <c r="E3" s="18">
        <f>+F3-B3</f>
        <v>5</v>
      </c>
      <c r="F3" s="6">
        <v>5</v>
      </c>
      <c r="G3" s="7">
        <v>1000</v>
      </c>
      <c r="H3" s="4">
        <f>+F3*C3</f>
        <v>1000</v>
      </c>
    </row>
    <row r="4" spans="1:9" ht="52.8" thickBot="1" x14ac:dyDescent="0.35">
      <c r="A4" s="3" t="s">
        <v>9</v>
      </c>
      <c r="B4" s="18">
        <v>12</v>
      </c>
      <c r="C4" s="5">
        <v>165</v>
      </c>
      <c r="D4" s="5">
        <f t="shared" ref="D4:D6" si="0">+B4*C4</f>
        <v>1980</v>
      </c>
      <c r="E4" s="18">
        <f>+F4-B4</f>
        <v>28</v>
      </c>
      <c r="F4" s="6">
        <v>40</v>
      </c>
      <c r="G4" s="7">
        <v>6600</v>
      </c>
      <c r="H4" s="4">
        <f>+F4*C4</f>
        <v>6600</v>
      </c>
    </row>
    <row r="5" spans="1:9" ht="35.4" thickBot="1" x14ac:dyDescent="0.35">
      <c r="A5" s="3" t="s">
        <v>10</v>
      </c>
      <c r="B5" s="18">
        <v>4</v>
      </c>
      <c r="C5" s="5">
        <v>75</v>
      </c>
      <c r="D5" s="5">
        <f t="shared" si="0"/>
        <v>300</v>
      </c>
      <c r="E5" s="18">
        <f>+F5-B5</f>
        <v>26</v>
      </c>
      <c r="F5" s="6">
        <v>30</v>
      </c>
      <c r="G5" s="7">
        <v>2250</v>
      </c>
      <c r="H5" s="4">
        <f>+F5*C5</f>
        <v>2250</v>
      </c>
    </row>
    <row r="6" spans="1:9" ht="70.2" thickBot="1" x14ac:dyDescent="0.35">
      <c r="A6" s="3" t="s">
        <v>11</v>
      </c>
      <c r="B6" s="21">
        <v>22</v>
      </c>
      <c r="C6" s="22">
        <v>185</v>
      </c>
      <c r="D6" s="5">
        <f t="shared" si="0"/>
        <v>4070</v>
      </c>
      <c r="E6" s="18">
        <f>+F6-B6</f>
        <v>8</v>
      </c>
      <c r="F6" s="6">
        <v>30</v>
      </c>
      <c r="G6" s="7">
        <v>5550</v>
      </c>
      <c r="H6" s="4">
        <f>+F6*C6</f>
        <v>5550</v>
      </c>
    </row>
    <row r="7" spans="1:9" ht="18.600000000000001" customHeight="1" x14ac:dyDescent="0.3">
      <c r="A7" s="10" t="s">
        <v>12</v>
      </c>
      <c r="B7" s="19">
        <f>SUM(B3:B6)</f>
        <v>38</v>
      </c>
      <c r="C7" s="12" t="s">
        <v>13</v>
      </c>
      <c r="D7" s="14">
        <f>SUM(D3:D6)</f>
        <v>6350</v>
      </c>
      <c r="E7" s="19">
        <f>SUM(E3:E6)</f>
        <v>67</v>
      </c>
      <c r="F7" s="12">
        <f>SUM(F3:F6)</f>
        <v>105</v>
      </c>
      <c r="G7" s="16">
        <f>SUM(G3:G6)</f>
        <v>15400</v>
      </c>
    </row>
    <row r="8" spans="1:9" ht="15" thickBot="1" x14ac:dyDescent="0.35">
      <c r="A8" s="11"/>
      <c r="B8" s="20"/>
      <c r="C8" s="13"/>
      <c r="D8" s="15"/>
      <c r="E8" s="13"/>
      <c r="F8" s="13"/>
      <c r="G8" s="17"/>
      <c r="I8" s="4">
        <f>17000-D7</f>
        <v>10650</v>
      </c>
    </row>
  </sheetData>
  <mergeCells count="12">
    <mergeCell ref="G7:G8"/>
    <mergeCell ref="A7:A8"/>
    <mergeCell ref="B7:B8"/>
    <mergeCell ref="C7:C8"/>
    <mergeCell ref="D7:D8"/>
    <mergeCell ref="E7:E8"/>
    <mergeCell ref="F7:F8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Rosenthal, Amy (RGP - Richmond)</dc:creator>
  <cp:lastModifiedBy>Rosenthal, Amy (RGP - Richmond)</cp:lastModifiedBy>
  <dcterms:created xsi:type="dcterms:W3CDTF">2026-07-20T12:51:03Z</dcterms:created>
  <dcterms:modified xsi:type="dcterms:W3CDTF">2026-07-20T13:00:40Z</dcterms:modified>
</cp:coreProperties>
</file>